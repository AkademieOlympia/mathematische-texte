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sage" sheetId="1" state="visible" r:id="rId1"/>
    <sheet name="Kennzahlen" sheetId="2" state="visible" r:id="rId2"/>
    <sheet name="Rohdaten" sheetId="3" state="visible" r:id="rId3"/>
  </sheets>
  <definedNames>
    <definedName name="_xlnm._FilterDatabase" localSheetId="2" hidden="1">'Rohdaten'!$A$4:$K$19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color rgb="001A202C"/>
      <sz val="8"/>
    </font>
    <font>
      <name val="Calibri"/>
      <b val="1"/>
      <color rgb="00FFFFFF"/>
      <sz val="12"/>
    </font>
    <font>
      <name val="Calibri"/>
      <color rgb="001A202C"/>
      <sz val="11"/>
    </font>
    <font>
      <name val="Calibri"/>
      <b val="1"/>
      <color rgb="001E3A5F"/>
      <sz val="16"/>
    </font>
    <font>
      <name val="Calibri"/>
      <color rgb="004A5568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7FAFC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EDF2F7"/>
      </patternFill>
    </fill>
    <fill>
      <patternFill patternType="solid">
        <fgColor rgb="00F0FFF4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wrapText="1"/>
    </xf>
    <xf numFmtId="0" fontId="6" fillId="4" borderId="0" pivotButton="0" quotePrefix="0" xfId="0"/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2" fillId="0" borderId="0" pivotButton="0" quotePrefix="0" xfId="0"/>
    <xf numFmtId="0" fontId="4" fillId="5" borderId="1" pivotButton="0" quotePrefix="0" xfId="0"/>
    <xf numFmtId="164" fontId="4" fillId="5" borderId="1" pivotButton="0" quotePrefix="0" xfId="0"/>
    <xf numFmtId="2" fontId="4" fillId="5" borderId="1" pivotButton="0" quotePrefix="0" xfId="0"/>
    <xf numFmtId="0" fontId="4" fillId="3" borderId="1" pivotButton="0" quotePrefix="0" xfId="0"/>
    <xf numFmtId="164" fontId="4" fillId="3" borderId="1" pivotButton="0" quotePrefix="0" xfId="0"/>
    <xf numFmtId="2" fontId="4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right" vertical="center"/>
    </xf>
    <xf numFmtId="0" fontId="2" fillId="3" borderId="0" pivotButton="0" quotePrefix="0" xfId="0"/>
    <xf numFmtId="164" fontId="4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b val="1"/>
        <color rgb="009B2C2C"/>
      </font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T10 nach Engine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'Aussage'!B26</f>
            </strRef>
          </tx>
          <spPr>
            <a:ln>
              <a:prstDash val="solid"/>
            </a:ln>
          </spPr>
          <cat>
            <numRef>
              <f>'Aussage'!$A$27:$A$29</f>
            </numRef>
          </cat>
          <val>
            <numRef>
              <f>'Aussage'!$B$27:$B$29</f>
            </numRef>
          </val>
        </ser>
        <ser>
          <idx val="1"/>
          <order val="1"/>
          <tx>
            <strRef>
              <f>'Aussage'!C26</f>
            </strRef>
          </tx>
          <spPr>
            <a:ln>
              <a:prstDash val="solid"/>
            </a:ln>
          </spPr>
          <cat>
            <numRef>
              <f>'Aussage'!$A$27:$A$29</f>
            </numRef>
          </cat>
          <val>
            <numRef>
              <f>'Aussage'!$C$27:$C$29</f>
            </numRef>
          </val>
        </ser>
        <ser>
          <idx val="2"/>
          <order val="2"/>
          <tx>
            <strRef>
              <f>'Aussage'!D26</f>
            </strRef>
          </tx>
          <spPr>
            <a:ln>
              <a:prstDash val="solid"/>
            </a:ln>
          </spPr>
          <cat>
            <numRef>
              <f>'Aussage'!$A$27:$A$29</f>
            </numRef>
          </cat>
          <val>
            <numRef>
              <f>'Aussage'!$D$27:$D$29</f>
            </numRef>
          </val>
        </ser>
        <ser>
          <idx val="3"/>
          <order val="3"/>
          <tx>
            <strRef>
              <f>'Aussage'!E26</f>
            </strRef>
          </tx>
          <spPr>
            <a:ln>
              <a:prstDash val="solid"/>
            </a:ln>
          </spPr>
          <cat>
            <numRef>
              <f>'Aussage'!$A$27:$A$29</f>
            </numRef>
          </cat>
          <val>
            <numRef>
              <f>'Aussage'!$E$27:$E$29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T10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'Kennzahlen'!B5</f>
            </strRef>
          </tx>
          <spPr>
            <a:ln>
              <a:prstDash val="solid"/>
            </a:ln>
          </spPr>
          <cat>
            <numRef>
              <f>'Kennzahlen'!$A$6:$A$8</f>
            </numRef>
          </cat>
          <val>
            <numRef>
              <f>'Kennzahlen'!$B$6:$B$8</f>
            </numRef>
          </val>
        </ser>
        <ser>
          <idx val="1"/>
          <order val="1"/>
          <tx>
            <strRef>
              <f>'Kennzahlen'!C5</f>
            </strRef>
          </tx>
          <spPr>
            <a:ln>
              <a:prstDash val="solid"/>
            </a:ln>
          </spPr>
          <cat>
            <numRef>
              <f>'Kennzahlen'!$A$6:$A$8</f>
            </numRef>
          </cat>
          <val>
            <numRef>
              <f>'Kennzahlen'!$C$6:$C$8</f>
            </numRef>
          </val>
        </ser>
        <ser>
          <idx val="2"/>
          <order val="2"/>
          <tx>
            <strRef>
              <f>'Kennzahlen'!D5</f>
            </strRef>
          </tx>
          <spPr>
            <a:ln>
              <a:prstDash val="solid"/>
            </a:ln>
          </spPr>
          <cat>
            <numRef>
              <f>'Kennzahlen'!$A$6:$A$8</f>
            </numRef>
          </cat>
          <val>
            <numRef>
              <f>'Kennzahlen'!$D$6:$D$8</f>
            </numRef>
          </val>
        </ser>
        <ser>
          <idx val="3"/>
          <order val="3"/>
          <tx>
            <strRef>
              <f>'Kennzahlen'!E5</f>
            </strRef>
          </tx>
          <spPr>
            <a:ln>
              <a:prstDash val="solid"/>
            </a:ln>
          </spPr>
          <cat>
            <numRef>
              <f>'Kennzahlen'!$A$6:$A$8</f>
            </numRef>
          </cat>
          <val>
            <numRef>
              <f>'Kennzahlen'!$E$6:$E$8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Bitlänge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Millisekunden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GMP / EABC (Median T10)</a:t>
            </a:r>
          </a:p>
        </rich>
      </tx>
    </title>
    <plotArea>
      <lineChart>
        <grouping val="standard"/>
        <ser>
          <idx val="0"/>
          <order val="0"/>
          <tx>
            <strRef>
              <f>'Kennzahlen'!D11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'Kennzahlen'!$A$12:$A$14</f>
            </numRef>
          </cat>
          <val>
            <numRef>
              <f>'Kennzahlen'!$D$12:$D$14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Bitlänge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Verhältnis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30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ohdatenTab" displayName="RohdatenTab" ref="A4:K19" headerRowCount="1">
  <autoFilter ref="A4:K19"/>
  <tableColumns count="11">
    <tableColumn id="1" name="Bits"/>
    <tableColumn id="2" name="Trial"/>
    <tableColumn id="3" name="GMP_ms"/>
    <tableColumn id="4" name="OpenSSL_raw_ms"/>
    <tableColumn id="5" name="OpenSSL_sieved_ms"/>
    <tableColumn id="6" name="EABC_ms"/>
    <tableColumn id="7" name="Odd_Walk"/>
    <tableColumn id="8" name="Sieb"/>
    <tableColumn id="9" name="MR_Runden"/>
    <tableColumn id="10" name="Agree"/>
    <tableColumn id="11" name="Engine_Reihenfol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18" customWidth="1" min="5" max="5"/>
    <col width="18" customWidth="1" min="6" max="6"/>
  </cols>
  <sheetData>
    <row r="1" ht="32" customHeight="1">
      <c r="A1" s="1" t="inlineStr">
        <is>
          <t>Primes_EABC · Außenaussage</t>
        </is>
      </c>
    </row>
    <row r="2" ht="22" customHeight="1">
      <c r="A2" s="2" t="inlineStr">
        <is>
          <t>Vier Engines finden dieselbe Nachfolgerkette, failures=0, isolate=1. Der Sieb- und Testvorsprung von EABC existiert, schrumpft aber mit der Bitlänge. GMP mpz_nextprime bleibt in allen 15 Läufen 1,56–1,73× schneller. Kein Primzahlbeweis, kein Geschwindigkeitsclaim.</t>
        </is>
      </c>
    </row>
    <row r="3" ht="22" customHeight="1"/>
    <row r="5" ht="28" customHeight="1">
      <c r="A5" s="3" t="inlineStr">
        <is>
          <t>15 / 15</t>
        </is>
      </c>
      <c r="C5" s="3" t="inlineStr">
        <is>
          <t>0</t>
        </is>
      </c>
      <c r="E5" s="3" t="inlineStr">
        <is>
          <t>1,56–1,73×</t>
        </is>
      </c>
    </row>
    <row r="6" ht="28" customHeight="1">
      <c r="A6" s="4" t="inlineStr">
        <is>
          <t>GMP schneller als EABC</t>
        </is>
      </c>
      <c r="C6" s="4" t="inlineStr">
        <is>
          <t>failures / Agree-Brüche</t>
        </is>
      </c>
      <c r="E6" s="4" t="inlineStr">
        <is>
          <t>GMP-Faktor Median T10</t>
        </is>
      </c>
    </row>
    <row r="8" ht="28" customHeight="1">
      <c r="A8" s="3" t="inlineStr">
        <is>
          <t>~8×</t>
        </is>
      </c>
      <c r="C8" s="3" t="inlineStr">
        <is>
          <t>1,16 → 1,07</t>
        </is>
      </c>
      <c r="E8" s="3" t="inlineStr">
        <is>
          <t>1,39 → 1,11</t>
        </is>
      </c>
    </row>
    <row r="9" ht="28" customHeight="1">
      <c r="A9" s="4" t="inlineStr">
        <is>
          <t>Odd-Walk-Kandidaten / Sieb</t>
        </is>
      </c>
      <c r="C9" s="4" t="inlineStr">
        <is>
          <t>Siebgewinn, schrumpfend</t>
        </is>
      </c>
      <c r="E9" s="4" t="inlineStr">
        <is>
          <t>Testgewinn, schrumpfend</t>
        </is>
      </c>
    </row>
    <row r="11">
      <c r="A11" s="5" t="inlineStr">
        <is>
          <t>Was die Zahlen trennen — und was sie nicht belegen</t>
        </is>
      </c>
    </row>
    <row r="12" ht="18" customHeight="1">
      <c r="A12" s="6" t="inlineStr">
        <is>
          <t>Belegt
• Dieselbe Next-Prime-Kette, probable-prime GMP reps=64 und OpenSSL
• Sieb ~8× weniger Kandidaten als Odd-Walk, identisch für sieved und eabc_mr
• Beide Gewinne schrumpfen: Sieb 1,16→1,07, Test 1,39→1,11
• GMP-Abstand ist strukturell (flach 0,64→0,58), nicht Messrauschen
• Trial 3 bei 2048 (EABC 1975 ms) verschiebt den Mittel, nicht den Median</t>
        </is>
      </c>
      <c r="D12" s="7" t="inlineStr">
        <is>
          <t>Nicht belegt
• Überlegenheit gegenüber GMP
• Neue Primzahltheorie oder geschlossene Formel
• Primzahlbeweis (nur probable prime)
• FIPS- oder Krypto-Sicherheitsniveau
• Publikationsstatistik: n=5 je Länge, rechtsschief; 30+ Trials und p25/p75 fehlen</t>
        </is>
      </c>
    </row>
    <row r="13" ht="18" customHeight="1"/>
    <row r="14" ht="18" customHeight="1"/>
    <row r="15" ht="18" customHeight="1"/>
    <row r="16" ht="18" customHeight="1"/>
    <row r="18">
      <c r="A18" s="8" t="inlineStr">
        <is>
          <t>Quelle: commercial_prime_benchmark/out_eabc/results.json · Primes_EABC.cpp · Apple M5 · 5 Trials × {512,1024,2048} · count=10</t>
        </is>
      </c>
    </row>
    <row r="20">
      <c r="A20" s="5" t="inlineStr">
        <is>
          <t>Live aus Kennzahlen</t>
        </is>
      </c>
    </row>
    <row r="21">
      <c r="A21" s="9" t="inlineStr">
        <is>
          <t>GMP/EABC 512</t>
        </is>
      </c>
      <c r="B21" s="10">
        <f>Kennzahlen!D12</f>
        <v/>
      </c>
      <c r="C21" s="9" t="inlineStr">
        <is>
          <t>GMP-Faktor 512</t>
        </is>
      </c>
      <c r="D21" s="11">
        <f>Kennzahlen!E12</f>
        <v/>
      </c>
    </row>
    <row r="22">
      <c r="A22" s="12" t="inlineStr">
        <is>
          <t>GMP/EABC 1024</t>
        </is>
      </c>
      <c r="B22" s="13">
        <f>Kennzahlen!D13</f>
        <v/>
      </c>
      <c r="C22" s="12" t="inlineStr">
        <is>
          <t>GMP-Faktor 1024</t>
        </is>
      </c>
      <c r="D22" s="14">
        <f>Kennzahlen!E13</f>
        <v/>
      </c>
    </row>
    <row r="23">
      <c r="A23" s="9" t="inlineStr">
        <is>
          <t>GMP/EABC 2048</t>
        </is>
      </c>
      <c r="B23" s="10">
        <f>Kennzahlen!D14</f>
        <v/>
      </c>
      <c r="C23" s="9" t="inlineStr">
        <is>
          <t>GMP-Faktor 2048</t>
        </is>
      </c>
      <c r="D23" s="11">
        <f>Kennzahlen!E14</f>
        <v/>
      </c>
    </row>
    <row r="26">
      <c r="A26" s="15" t="inlineStr">
        <is>
          <t>Bits</t>
        </is>
      </c>
      <c r="B26" s="15" t="inlineStr">
        <is>
          <t>GMP</t>
        </is>
      </c>
      <c r="C26" s="15" t="inlineStr">
        <is>
          <t>OpenSSL raw</t>
        </is>
      </c>
      <c r="D26" s="15" t="inlineStr">
        <is>
          <t>OpenSSL sieved</t>
        </is>
      </c>
      <c r="E26" s="15" t="inlineStr">
        <is>
          <t>EABC</t>
        </is>
      </c>
    </row>
    <row r="27">
      <c r="A27" s="16">
        <f>Kennzahlen!A6</f>
        <v/>
      </c>
      <c r="B27" s="17">
        <f>Kennzahlen!B6</f>
        <v/>
      </c>
      <c r="C27" s="17">
        <f>Kennzahlen!C6</f>
        <v/>
      </c>
      <c r="D27" s="17">
        <f>Kennzahlen!D6</f>
        <v/>
      </c>
      <c r="E27" s="17">
        <f>Kennzahlen!E6</f>
        <v/>
      </c>
    </row>
    <row r="28">
      <c r="A28" s="18">
        <f>Kennzahlen!A7</f>
        <v/>
      </c>
      <c r="B28" s="19">
        <f>Kennzahlen!B7</f>
        <v/>
      </c>
      <c r="C28" s="19">
        <f>Kennzahlen!C7</f>
        <v/>
      </c>
      <c r="D28" s="19">
        <f>Kennzahlen!D7</f>
        <v/>
      </c>
      <c r="E28" s="19">
        <f>Kennzahlen!E7</f>
        <v/>
      </c>
    </row>
    <row r="29">
      <c r="A29" s="16">
        <f>Kennzahlen!A8</f>
        <v/>
      </c>
      <c r="B29" s="17">
        <f>Kennzahlen!B8</f>
        <v/>
      </c>
      <c r="C29" s="17">
        <f>Kennzahlen!C8</f>
        <v/>
      </c>
      <c r="D29" s="17">
        <f>Kennzahlen!D8</f>
        <v/>
      </c>
      <c r="E29" s="17">
        <f>Kennzahlen!E8</f>
        <v/>
      </c>
    </row>
  </sheetData>
  <mergeCells count="19">
    <mergeCell ref="C6:D6"/>
    <mergeCell ref="C5:D5"/>
    <mergeCell ref="E5:F5"/>
    <mergeCell ref="A18:F18"/>
    <mergeCell ref="E8:F8"/>
    <mergeCell ref="A6:B6"/>
    <mergeCell ref="A12:C16"/>
    <mergeCell ref="C9:D9"/>
    <mergeCell ref="E9:F9"/>
    <mergeCell ref="A20:C20"/>
    <mergeCell ref="D12:F16"/>
    <mergeCell ref="E6:F6"/>
    <mergeCell ref="A5:B5"/>
    <mergeCell ref="A8:B8"/>
    <mergeCell ref="C8:D8"/>
    <mergeCell ref="A11:F11"/>
    <mergeCell ref="A2:F3"/>
    <mergeCell ref="A1:F1"/>
    <mergeCell ref="A9:B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2" customWidth="1" min="4" max="4"/>
    <col width="22" customWidth="1" min="5" max="5"/>
    <col width="22" customWidth="1" min="6" max="6"/>
    <col width="16" customWidth="1" min="7" max="7"/>
    <col width="14" customWidth="1" min="8" max="8"/>
  </cols>
  <sheetData>
    <row r="1" ht="28" customHeight="1">
      <c r="A1" s="1" t="inlineStr">
        <is>
          <t>Kennzahlen aus den Medianen der 15 Läufe</t>
        </is>
      </c>
    </row>
    <row r="2">
      <c r="A2" s="20" t="inlineStr">
        <is>
          <t>Alle abgeleiteten Größen sind Excel-Formeln auf Rohdaten. µs/Runde = Median(T10_EABC) / Median(MR-Runden), also Verhältnis der Mediane.</t>
        </is>
      </c>
    </row>
    <row r="4">
      <c r="A4" s="5" t="inlineStr">
        <is>
          <t>1 · Mediane T10 (ms)</t>
        </is>
      </c>
    </row>
    <row r="5" ht="28" customHeight="1">
      <c r="A5" s="15" t="inlineStr">
        <is>
          <t>Bits</t>
        </is>
      </c>
      <c r="B5" s="15" t="inlineStr">
        <is>
          <t>GMP</t>
        </is>
      </c>
      <c r="C5" s="15" t="inlineStr">
        <is>
          <t>OpenSSL raw</t>
        </is>
      </c>
      <c r="D5" s="15" t="inlineStr">
        <is>
          <t>OpenSSL sieved</t>
        </is>
      </c>
      <c r="E5" s="15" t="inlineStr">
        <is>
          <t>EABC</t>
        </is>
      </c>
    </row>
    <row r="6">
      <c r="A6" s="16" t="n">
        <v>512</v>
      </c>
      <c r="B6" s="21">
        <f>MEDIAN(Rohdaten!C5:C9)</f>
        <v/>
      </c>
      <c r="C6" s="21">
        <f>MEDIAN(Rohdaten!D5:D9)</f>
        <v/>
      </c>
      <c r="D6" s="21">
        <f>MEDIAN(Rohdaten!E5:E9)</f>
        <v/>
      </c>
      <c r="E6" s="21">
        <f>MEDIAN(Rohdaten!F5:F9)</f>
        <v/>
      </c>
    </row>
    <row r="7">
      <c r="A7" s="18" t="n">
        <v>1024</v>
      </c>
      <c r="B7" s="22">
        <f>MEDIAN(Rohdaten!C10:C14)</f>
        <v/>
      </c>
      <c r="C7" s="22">
        <f>MEDIAN(Rohdaten!D10:D14)</f>
        <v/>
      </c>
      <c r="D7" s="22">
        <f>MEDIAN(Rohdaten!E10:E14)</f>
        <v/>
      </c>
      <c r="E7" s="22">
        <f>MEDIAN(Rohdaten!F10:F14)</f>
        <v/>
      </c>
    </row>
    <row r="8">
      <c r="A8" s="16" t="n">
        <v>2048</v>
      </c>
      <c r="B8" s="21">
        <f>MEDIAN(Rohdaten!C15:C19)</f>
        <v/>
      </c>
      <c r="C8" s="21">
        <f>MEDIAN(Rohdaten!D15:D19)</f>
        <v/>
      </c>
      <c r="D8" s="21">
        <f>MEDIAN(Rohdaten!E15:E19)</f>
        <v/>
      </c>
      <c r="E8" s="21">
        <f>MEDIAN(Rohdaten!F15:F19)</f>
        <v/>
      </c>
    </row>
    <row r="10">
      <c r="A10" s="5" t="inlineStr">
        <is>
          <t>2 · Zerlegung des Abstands</t>
        </is>
      </c>
    </row>
    <row r="11" ht="28" customHeight="1">
      <c r="A11" s="15" t="inlineStr">
        <is>
          <t>Bits</t>
        </is>
      </c>
      <c r="B11" s="15" t="inlineStr">
        <is>
          <t>Siebgewinn raw/sieved</t>
        </is>
      </c>
      <c r="C11" s="15" t="inlineStr">
        <is>
          <t>Testgewinn sieved/EABC</t>
        </is>
      </c>
      <c r="D11" s="15" t="inlineStr">
        <is>
          <t>GMP/EABC</t>
        </is>
      </c>
      <c r="E11" s="15" t="inlineStr">
        <is>
          <t>GMP-Faktor EABC/GMP</t>
        </is>
      </c>
      <c r="F11" s="15" t="inlineStr">
        <is>
          <t>EABC hinter GMP</t>
        </is>
      </c>
    </row>
    <row r="12">
      <c r="A12" s="16">
        <f>A6</f>
        <v/>
      </c>
      <c r="B12" s="21">
        <f>C6/D6</f>
        <v/>
      </c>
      <c r="C12" s="21">
        <f>D6/E6</f>
        <v/>
      </c>
      <c r="D12" s="21">
        <f>B6/E6</f>
        <v/>
      </c>
      <c r="E12" s="21">
        <f>E6/B6</f>
        <v/>
      </c>
      <c r="F12" s="23">
        <f>1-D12</f>
        <v/>
      </c>
    </row>
    <row r="13">
      <c r="A13" s="18">
        <f>A7</f>
        <v/>
      </c>
      <c r="B13" s="22">
        <f>C7/D7</f>
        <v/>
      </c>
      <c r="C13" s="22">
        <f>D7/E7</f>
        <v/>
      </c>
      <c r="D13" s="22">
        <f>B7/E7</f>
        <v/>
      </c>
      <c r="E13" s="22">
        <f>E7/B7</f>
        <v/>
      </c>
      <c r="F13" s="24">
        <f>1-D13</f>
        <v/>
      </c>
    </row>
    <row r="14">
      <c r="A14" s="16">
        <f>A8</f>
        <v/>
      </c>
      <c r="B14" s="21">
        <f>C8/D8</f>
        <v/>
      </c>
      <c r="C14" s="21">
        <f>D8/E8</f>
        <v/>
      </c>
      <c r="D14" s="21">
        <f>B8/E8</f>
        <v/>
      </c>
      <c r="E14" s="21">
        <f>E8/B8</f>
        <v/>
      </c>
      <c r="F14" s="23">
        <f>1-D14</f>
        <v/>
      </c>
    </row>
    <row r="16">
      <c r="A16" s="5" t="inlineStr">
        <is>
          <t>3 · Kandidaten (Median)</t>
        </is>
      </c>
    </row>
    <row r="17" ht="28" customHeight="1">
      <c r="A17" s="15" t="inlineStr">
        <is>
          <t>Bits</t>
        </is>
      </c>
      <c r="B17" s="15" t="inlineStr">
        <is>
          <t>Odd-Walk</t>
        </is>
      </c>
      <c r="C17" s="15" t="inlineStr">
        <is>
          <t>Sieb</t>
        </is>
      </c>
      <c r="D17" s="15" t="inlineStr">
        <is>
          <t>Verhältnis odd/Sieb</t>
        </is>
      </c>
    </row>
    <row r="18">
      <c r="A18" s="16" t="n">
        <v>512</v>
      </c>
      <c r="B18" s="25">
        <f>MEDIAN(Rohdaten!G5:G9)</f>
        <v/>
      </c>
      <c r="C18" s="25">
        <f>MEDIAN(Rohdaten!H5:H9)</f>
        <v/>
      </c>
      <c r="D18" s="26">
        <f>B18/C18</f>
        <v/>
      </c>
    </row>
    <row r="19">
      <c r="A19" s="18" t="n">
        <v>1024</v>
      </c>
      <c r="B19" s="27">
        <f>MEDIAN(Rohdaten!G10:G14)</f>
        <v/>
      </c>
      <c r="C19" s="27">
        <f>MEDIAN(Rohdaten!H10:H14)</f>
        <v/>
      </c>
      <c r="D19" s="28">
        <f>B19/C19</f>
        <v/>
      </c>
    </row>
    <row r="20">
      <c r="A20" s="16" t="n">
        <v>2048</v>
      </c>
      <c r="B20" s="25">
        <f>MEDIAN(Rohdaten!G15:G19)</f>
        <v/>
      </c>
      <c r="C20" s="25">
        <f>MEDIAN(Rohdaten!H15:H19)</f>
        <v/>
      </c>
      <c r="D20" s="26">
        <f>B20/C20</f>
        <v/>
      </c>
    </row>
    <row r="22">
      <c r="A22" s="5" t="inlineStr">
        <is>
          <t>4 · MR-Runden und Zeit pro Runde</t>
        </is>
      </c>
    </row>
    <row r="23" ht="28" customHeight="1">
      <c r="A23" s="15" t="inlineStr">
        <is>
          <t>Bits</t>
        </is>
      </c>
      <c r="B23" s="15" t="inlineStr">
        <is>
          <t>MR Median</t>
        </is>
      </c>
      <c r="C23" s="15" t="inlineStr">
        <is>
          <t>10×25</t>
        </is>
      </c>
      <c r="D23" s="15" t="inlineStr">
        <is>
          <t>Komposite ≈ MR−250</t>
        </is>
      </c>
      <c r="E23" s="15" t="inlineStr">
        <is>
          <t>Kand. Sieb</t>
        </is>
      </c>
      <c r="F23" s="15" t="inlineStr">
        <is>
          <t>µs/Runde (Med/Med)</t>
        </is>
      </c>
      <c r="G23" s="15" t="inlineStr">
        <is>
          <t>relativ zu 512</t>
        </is>
      </c>
    </row>
    <row r="24">
      <c r="A24" s="16" t="n">
        <v>512</v>
      </c>
      <c r="B24" s="25">
        <f>MEDIAN(Rohdaten!I5:I9)</f>
        <v/>
      </c>
      <c r="C24" s="29" t="n">
        <v>250</v>
      </c>
      <c r="D24" s="25">
        <f>B24-C24</f>
        <v/>
      </c>
      <c r="E24" s="25">
        <f>C18</f>
        <v/>
      </c>
      <c r="F24" s="17">
        <f>E6*1000/B24</f>
        <v/>
      </c>
      <c r="G24" s="26">
        <f>F24/$F$24</f>
        <v/>
      </c>
    </row>
    <row r="25">
      <c r="A25" s="18" t="n">
        <v>1024</v>
      </c>
      <c r="B25" s="27">
        <f>MEDIAN(Rohdaten!I10:I14)</f>
        <v/>
      </c>
      <c r="C25" s="30" t="n">
        <v>250</v>
      </c>
      <c r="D25" s="27">
        <f>B25-C25</f>
        <v/>
      </c>
      <c r="E25" s="27">
        <f>C19</f>
        <v/>
      </c>
      <c r="F25" s="19">
        <f>E7*1000/B25</f>
        <v/>
      </c>
      <c r="G25" s="28">
        <f>F25/$F$24</f>
        <v/>
      </c>
    </row>
    <row r="26">
      <c r="A26" s="16" t="n">
        <v>2048</v>
      </c>
      <c r="B26" s="25">
        <f>MEDIAN(Rohdaten!I15:I19)</f>
        <v/>
      </c>
      <c r="C26" s="29" t="n">
        <v>250</v>
      </c>
      <c r="D26" s="25">
        <f>B26-C26</f>
        <v/>
      </c>
      <c r="E26" s="25">
        <f>C20</f>
        <v/>
      </c>
      <c r="F26" s="17">
        <f>E8*1000/B26</f>
        <v/>
      </c>
      <c r="G26" s="26">
        <f>F26/$F$24</f>
        <v/>
      </c>
    </row>
    <row r="28" ht="22" customHeight="1">
      <c r="A28" s="31" t="inlineStr">
        <is>
          <t>Hinweis: µs/Runde verwendet das Verhältnis der Mediane (T10_EABC / MR). Der Median der Trial-Quotienten liegt bei 2048 etwas niedriger (~1111 µs). MR-Zerlegung: 10 Treffer × 25 Runden plus 1 Runde je Kompositum (Basis 2). openssl_sieved und eabc_mr haben identische Kandidatenzahlen.</t>
        </is>
      </c>
    </row>
    <row r="29" ht="22" customHeight="1"/>
  </sheetData>
  <mergeCells count="7">
    <mergeCell ref="A4:E4"/>
    <mergeCell ref="A10:F10"/>
    <mergeCell ref="A2:H2"/>
    <mergeCell ref="A22:G22"/>
    <mergeCell ref="A28:G29"/>
    <mergeCell ref="A16:D16"/>
    <mergeCell ref="A1:H1"/>
  </mergeCells>
  <conditionalFormatting sqref="D12:D14">
    <cfRule type="cellIs" priority="1" operator="lessThan" dxfId="0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52" customWidth="1" min="11" max="11"/>
  </cols>
  <sheetData>
    <row r="1" ht="28" customHeight="1">
      <c r="A1" s="1" t="inlineStr">
        <is>
          <t>Rohdaten · 15 Läufe · T10 in Millisekunden</t>
        </is>
      </c>
    </row>
    <row r="2">
      <c r="A2" s="20" t="inlineStr">
        <is>
          <t>Apple M5 · 6.3.0 · OpenSSL 3.6.4 25 Aug 2026 · isolate=1 · failures=0 · Seed eabc-v2</t>
        </is>
      </c>
    </row>
    <row r="4">
      <c r="A4" s="15" t="inlineStr">
        <is>
          <t>Bits</t>
        </is>
      </c>
      <c r="B4" s="15" t="inlineStr">
        <is>
          <t>Trial</t>
        </is>
      </c>
      <c r="C4" s="15" t="inlineStr">
        <is>
          <t>GMP_ms</t>
        </is>
      </c>
      <c r="D4" s="15" t="inlineStr">
        <is>
          <t>OpenSSL_raw_ms</t>
        </is>
      </c>
      <c r="E4" s="15" t="inlineStr">
        <is>
          <t>OpenSSL_sieved_ms</t>
        </is>
      </c>
      <c r="F4" s="15" t="inlineStr">
        <is>
          <t>EABC_ms</t>
        </is>
      </c>
      <c r="G4" s="15" t="inlineStr">
        <is>
          <t>Odd_Walk</t>
        </is>
      </c>
      <c r="H4" s="15" t="inlineStr">
        <is>
          <t>Sieb</t>
        </is>
      </c>
      <c r="I4" s="15" t="inlineStr">
        <is>
          <t>MR_Runden</t>
        </is>
      </c>
      <c r="J4" s="15" t="inlineStr">
        <is>
          <t>Agree</t>
        </is>
      </c>
      <c r="K4" s="15" t="inlineStr">
        <is>
          <t>Engine_Reihenfolge</t>
        </is>
      </c>
    </row>
    <row r="5">
      <c r="A5" s="16" t="n">
        <v>512</v>
      </c>
      <c r="B5" s="29" t="n">
        <v>0</v>
      </c>
      <c r="C5" s="21" t="n">
        <v>6.442083</v>
      </c>
      <c r="D5" s="21" t="n">
        <v>22.85225</v>
      </c>
      <c r="E5" s="21" t="n">
        <v>18.692333</v>
      </c>
      <c r="F5" s="21" t="n">
        <v>13.435959</v>
      </c>
      <c r="G5" s="29" t="n">
        <v>1400</v>
      </c>
      <c r="H5" s="29" t="n">
        <v>180</v>
      </c>
      <c r="I5" s="29" t="n">
        <v>420</v>
      </c>
      <c r="J5" s="29" t="n">
        <v>1</v>
      </c>
      <c r="K5" s="32" t="inlineStr">
        <is>
          <t>openssl_sieved,eabc_mr,openssl_stock,gmp_stock</t>
        </is>
      </c>
    </row>
    <row r="6">
      <c r="A6" s="18" t="n">
        <v>512</v>
      </c>
      <c r="B6" s="30" t="n">
        <v>1</v>
      </c>
      <c r="C6" s="22" t="n">
        <v>9.132916</v>
      </c>
      <c r="D6" s="22" t="n">
        <v>23.149958</v>
      </c>
      <c r="E6" s="22" t="n">
        <v>19.843375</v>
      </c>
      <c r="F6" s="22" t="n">
        <v>15.436958</v>
      </c>
      <c r="G6" s="30" t="n">
        <v>2098</v>
      </c>
      <c r="H6" s="30" t="n">
        <v>265</v>
      </c>
      <c r="I6" s="30" t="n">
        <v>505</v>
      </c>
      <c r="J6" s="30" t="n">
        <v>1</v>
      </c>
      <c r="K6" s="33" t="inlineStr">
        <is>
          <t>gmp_stock,eabc_mr,openssl_sieved,openssl_stock</t>
        </is>
      </c>
    </row>
    <row r="7">
      <c r="A7" s="16" t="n">
        <v>512</v>
      </c>
      <c r="B7" s="29" t="n">
        <v>2</v>
      </c>
      <c r="C7" s="21" t="n">
        <v>6.660833</v>
      </c>
      <c r="D7" s="21" t="n">
        <v>21.637667</v>
      </c>
      <c r="E7" s="21" t="n">
        <v>42.089584</v>
      </c>
      <c r="F7" s="21" t="n">
        <v>12.589958</v>
      </c>
      <c r="G7" s="29" t="n">
        <v>1417</v>
      </c>
      <c r="H7" s="29" t="n">
        <v>186</v>
      </c>
      <c r="I7" s="29" t="n">
        <v>426</v>
      </c>
      <c r="J7" s="29" t="n">
        <v>1</v>
      </c>
      <c r="K7" s="32" t="inlineStr">
        <is>
          <t>openssl_stock,openssl_sieved,eabc_mr,gmp_stock</t>
        </is>
      </c>
    </row>
    <row r="8">
      <c r="A8" s="18" t="n">
        <v>512</v>
      </c>
      <c r="B8" s="30" t="n">
        <v>3</v>
      </c>
      <c r="C8" s="22" t="n">
        <v>10.367541</v>
      </c>
      <c r="D8" s="22" t="n">
        <v>23.361083</v>
      </c>
      <c r="E8" s="22" t="n">
        <v>20.515167</v>
      </c>
      <c r="F8" s="22" t="n">
        <v>15.478208</v>
      </c>
      <c r="G8" s="30" t="n">
        <v>2147</v>
      </c>
      <c r="H8" s="30" t="n">
        <v>267</v>
      </c>
      <c r="I8" s="30" t="n">
        <v>507</v>
      </c>
      <c r="J8" s="30" t="n">
        <v>1</v>
      </c>
      <c r="K8" s="33" t="inlineStr">
        <is>
          <t>eabc_mr,gmp_stock,openssl_stock,openssl_sieved</t>
        </is>
      </c>
    </row>
    <row r="9">
      <c r="A9" s="16" t="n">
        <v>512</v>
      </c>
      <c r="B9" s="29" t="n">
        <v>4</v>
      </c>
      <c r="C9" s="21" t="n">
        <v>9.387083000000001</v>
      </c>
      <c r="D9" s="21" t="n">
        <v>22.992042</v>
      </c>
      <c r="E9" s="21" t="n">
        <v>19.839458</v>
      </c>
      <c r="F9" s="21" t="n">
        <v>14.28875</v>
      </c>
      <c r="G9" s="29" t="n">
        <v>1972</v>
      </c>
      <c r="H9" s="29" t="n">
        <v>234</v>
      </c>
      <c r="I9" s="29" t="n">
        <v>474</v>
      </c>
      <c r="J9" s="29" t="n">
        <v>1</v>
      </c>
      <c r="K9" s="32" t="inlineStr">
        <is>
          <t>gmp_stock,openssl_stock,eabc_mr,openssl_sieved</t>
        </is>
      </c>
    </row>
    <row r="10">
      <c r="A10" s="18" t="n">
        <v>1024</v>
      </c>
      <c r="B10" s="30" t="n">
        <v>0</v>
      </c>
      <c r="C10" s="22" t="n">
        <v>43.432875</v>
      </c>
      <c r="D10" s="22" t="n">
        <v>124.319875</v>
      </c>
      <c r="E10" s="22" t="n">
        <v>109.447709</v>
      </c>
      <c r="F10" s="22" t="n">
        <v>75.830833</v>
      </c>
      <c r="G10" s="30" t="n">
        <v>2144</v>
      </c>
      <c r="H10" s="30" t="n">
        <v>264</v>
      </c>
      <c r="I10" s="30" t="n">
        <v>504</v>
      </c>
      <c r="J10" s="30" t="n">
        <v>1</v>
      </c>
      <c r="K10" s="33" t="inlineStr">
        <is>
          <t>openssl_stock,openssl_sieved,eabc_mr,gmp_stock</t>
        </is>
      </c>
    </row>
    <row r="11">
      <c r="A11" s="16" t="n">
        <v>1024</v>
      </c>
      <c r="B11" s="29" t="n">
        <v>1</v>
      </c>
      <c r="C11" s="21" t="n">
        <v>37.48025</v>
      </c>
      <c r="D11" s="21" t="n">
        <v>112.549166</v>
      </c>
      <c r="E11" s="21" t="n">
        <v>101.862083</v>
      </c>
      <c r="F11" s="21" t="n">
        <v>68.23399999999999</v>
      </c>
      <c r="G11" s="29" t="n">
        <v>1660</v>
      </c>
      <c r="H11" s="29" t="n">
        <v>208</v>
      </c>
      <c r="I11" s="29" t="n">
        <v>448</v>
      </c>
      <c r="J11" s="29" t="n">
        <v>1</v>
      </c>
      <c r="K11" s="32" t="inlineStr">
        <is>
          <t>gmp_stock,openssl_sieved,eabc_mr,openssl_stock</t>
        </is>
      </c>
    </row>
    <row r="12">
      <c r="A12" s="18" t="n">
        <v>1024</v>
      </c>
      <c r="B12" s="30" t="n">
        <v>2</v>
      </c>
      <c r="C12" s="22" t="n">
        <v>84.89725</v>
      </c>
      <c r="D12" s="22" t="n">
        <v>204.734458</v>
      </c>
      <c r="E12" s="22" t="n">
        <v>170.570583</v>
      </c>
      <c r="F12" s="22" t="n">
        <v>133.294125</v>
      </c>
      <c r="G12" s="30" t="n">
        <v>5292</v>
      </c>
      <c r="H12" s="30" t="n">
        <v>666</v>
      </c>
      <c r="I12" s="30" t="n">
        <v>906</v>
      </c>
      <c r="J12" s="30" t="n">
        <v>1</v>
      </c>
      <c r="K12" s="33" t="inlineStr">
        <is>
          <t>eabc_mr,gmp_stock,openssl_stock,openssl_sieved</t>
        </is>
      </c>
    </row>
    <row r="13">
      <c r="A13" s="16" t="n">
        <v>1024</v>
      </c>
      <c r="B13" s="29" t="n">
        <v>3</v>
      </c>
      <c r="C13" s="21" t="n">
        <v>64.783458</v>
      </c>
      <c r="D13" s="21" t="n">
        <v>159.666</v>
      </c>
      <c r="E13" s="21" t="n">
        <v>143.24025</v>
      </c>
      <c r="F13" s="21" t="n">
        <v>107.867125</v>
      </c>
      <c r="G13" s="29" t="n">
        <v>3683</v>
      </c>
      <c r="H13" s="29" t="n">
        <v>467</v>
      </c>
      <c r="I13" s="29" t="n">
        <v>707</v>
      </c>
      <c r="J13" s="29" t="n">
        <v>1</v>
      </c>
      <c r="K13" s="32" t="inlineStr">
        <is>
          <t>openssl_sieved,openssl_stock,gmp_stock,eabc_mr</t>
        </is>
      </c>
    </row>
    <row r="14">
      <c r="A14" s="18" t="n">
        <v>1024</v>
      </c>
      <c r="B14" s="30" t="n">
        <v>4</v>
      </c>
      <c r="C14" s="22" t="n">
        <v>72.31008300000001</v>
      </c>
      <c r="D14" s="22" t="n">
        <v>172.373417</v>
      </c>
      <c r="E14" s="22" t="n">
        <v>142.773417</v>
      </c>
      <c r="F14" s="22" t="n">
        <v>106.754083</v>
      </c>
      <c r="G14" s="30" t="n">
        <v>3958</v>
      </c>
      <c r="H14" s="30" t="n">
        <v>491</v>
      </c>
      <c r="I14" s="30" t="n">
        <v>731</v>
      </c>
      <c r="J14" s="30" t="n">
        <v>1</v>
      </c>
      <c r="K14" s="33" t="inlineStr">
        <is>
          <t>openssl_stock,gmp_stock,openssl_sieved,eabc_mr</t>
        </is>
      </c>
    </row>
    <row r="15">
      <c r="A15" s="16" t="n">
        <v>2048</v>
      </c>
      <c r="B15" s="29" t="n">
        <v>0</v>
      </c>
      <c r="C15" s="21" t="n">
        <v>581.558792</v>
      </c>
      <c r="D15" s="21" t="n">
        <v>1280.239625</v>
      </c>
      <c r="E15" s="21" t="n">
        <v>1201.729667</v>
      </c>
      <c r="F15" s="21" t="n">
        <v>1086.001666</v>
      </c>
      <c r="G15" s="29" t="n">
        <v>5572</v>
      </c>
      <c r="H15" s="29" t="n">
        <v>701</v>
      </c>
      <c r="I15" s="29" t="n">
        <v>941</v>
      </c>
      <c r="J15" s="29" t="n">
        <v>1</v>
      </c>
      <c r="K15" s="32" t="inlineStr">
        <is>
          <t>openssl_stock,gmp_stock,openssl_sieved,eabc_mr</t>
        </is>
      </c>
    </row>
    <row r="16">
      <c r="A16" s="18" t="n">
        <v>2048</v>
      </c>
      <c r="B16" s="30" t="n">
        <v>1</v>
      </c>
      <c r="C16" s="22" t="n">
        <v>382.226209</v>
      </c>
      <c r="D16" s="22" t="n">
        <v>1069.16425</v>
      </c>
      <c r="E16" s="22" t="n">
        <v>938.656083</v>
      </c>
      <c r="F16" s="22" t="n">
        <v>705.415625</v>
      </c>
      <c r="G16" s="30" t="n">
        <v>3552</v>
      </c>
      <c r="H16" s="30" t="n">
        <v>433</v>
      </c>
      <c r="I16" s="30" t="n">
        <v>673</v>
      </c>
      <c r="J16" s="30" t="n">
        <v>1</v>
      </c>
      <c r="K16" s="33" t="inlineStr">
        <is>
          <t>openssl_stock,eabc_mr,gmp_stock,openssl_sieved</t>
        </is>
      </c>
    </row>
    <row r="17">
      <c r="A17" s="16" t="n">
        <v>2048</v>
      </c>
      <c r="B17" s="29" t="n">
        <v>2</v>
      </c>
      <c r="C17" s="21" t="n">
        <v>629.303083</v>
      </c>
      <c r="D17" s="21" t="n">
        <v>1278.063875</v>
      </c>
      <c r="E17" s="21" t="n">
        <v>1087.193</v>
      </c>
      <c r="F17" s="21" t="n">
        <v>923.523042</v>
      </c>
      <c r="G17" s="29" t="n">
        <v>4776</v>
      </c>
      <c r="H17" s="29" t="n">
        <v>591</v>
      </c>
      <c r="I17" s="29" t="n">
        <v>831</v>
      </c>
      <c r="J17" s="29" t="n">
        <v>1</v>
      </c>
      <c r="K17" s="32" t="inlineStr">
        <is>
          <t>openssl_stock,openssl_sieved,gmp_stock,eabc_mr</t>
        </is>
      </c>
    </row>
    <row r="18">
      <c r="A18" s="18" t="n">
        <v>2048</v>
      </c>
      <c r="B18" s="30" t="n">
        <v>3</v>
      </c>
      <c r="C18" s="22" t="n">
        <v>1050.019417</v>
      </c>
      <c r="D18" s="22" t="n">
        <v>2054.114875</v>
      </c>
      <c r="E18" s="22" t="n">
        <v>1971.259375</v>
      </c>
      <c r="F18" s="22" t="n">
        <v>1974.909</v>
      </c>
      <c r="G18" s="30" t="n">
        <v>11524</v>
      </c>
      <c r="H18" s="30" t="n">
        <v>1497</v>
      </c>
      <c r="I18" s="30" t="n">
        <v>1737</v>
      </c>
      <c r="J18" s="30" t="n">
        <v>1</v>
      </c>
      <c r="K18" s="33" t="inlineStr">
        <is>
          <t>gmp_stock,eabc_mr,openssl_stock,openssl_sieved</t>
        </is>
      </c>
    </row>
    <row r="19">
      <c r="A19" s="16" t="n">
        <v>2048</v>
      </c>
      <c r="B19" s="29" t="n">
        <v>4</v>
      </c>
      <c r="C19" s="21" t="n">
        <v>760.975542</v>
      </c>
      <c r="D19" s="21" t="n">
        <v>1582.940458</v>
      </c>
      <c r="E19" s="21" t="n">
        <v>1493.538375</v>
      </c>
      <c r="F19" s="21" t="n">
        <v>1373.788375</v>
      </c>
      <c r="G19" s="29" t="n">
        <v>8214</v>
      </c>
      <c r="H19" s="29" t="n">
        <v>1025</v>
      </c>
      <c r="I19" s="29" t="n">
        <v>1265</v>
      </c>
      <c r="J19" s="29" t="n">
        <v>1</v>
      </c>
      <c r="K19" s="32" t="inlineStr">
        <is>
          <t>openssl_stock,openssl_sieved,eabc_mr,gmp_stock</t>
        </is>
      </c>
    </row>
  </sheetData>
  <autoFilter ref="A4:K19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2026-09-21T10:45:17Z</dcterms:created>
  <dcterms:modified xsi:type="dcterms:W3CDTF">2026-09-21T10:45:17Z</dcterms:modified>
</cp:coreProperties>
</file>