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werte" sheetId="1" r:id="rId1"/>
    <sheet name="Kandidaten_MR" sheetId="2" r:id="rId2"/>
    <sheet name="Sieb_vs_Test" sheetId="3" r:id="rId3"/>
    <sheet name="Beleg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8.83203125" customWidth="1"/>
    <col min="2" max="2" width="10.83203125" customWidth="1"/>
    <col min="3" max="3" width="14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Primes_EABC — Median-Zeiten T10 (ms)</v>
      </c>
      <c r="B1" t="str">
        <v/>
      </c>
    </row>
    <row r="2">
      <c r="A2" t="str">
        <v>Quelle: out_eabc/results.json · Apple M5 · GMP 6.3.0 · OpenSSL 3.6.4 · 5 Trials, isolate=1, mr_policy=stock</v>
      </c>
      <c r="B2" t="str">
        <v/>
      </c>
    </row>
    <row r="4">
      <c r="A4" t="str">
        <v>Bits</v>
      </c>
      <c r="B4" t="str">
        <v>GMP</v>
      </c>
      <c r="C4" t="str">
        <v>OpenSSL raw</v>
      </c>
      <c r="D4" t="str">
        <v>OpenSSL sieved</v>
      </c>
      <c r="E4" t="str">
        <v>EABC</v>
      </c>
      <c r="F4" t="str">
        <v>GMP/EABC</v>
      </c>
      <c r="G4" t="str">
        <v>EABC/GMP</v>
      </c>
      <c r="H4" t="str">
        <v>raw/sieved</v>
      </c>
    </row>
    <row r="5">
      <c r="A5">
        <v>512</v>
      </c>
      <c r="B5" s="1">
        <v>9.13</v>
      </c>
      <c r="C5" s="1">
        <v>23</v>
      </c>
      <c r="D5" s="1">
        <v>19.8</v>
      </c>
      <c r="E5" s="1">
        <v>14.3</v>
      </c>
      <c r="F5" s="2">
        <f>B5/E5</f>
      </c>
      <c r="G5" s="2">
        <f>E5/B5</f>
      </c>
      <c r="H5" s="2">
        <f>C5/D5</f>
      </c>
    </row>
    <row r="6">
      <c r="A6">
        <v>1024</v>
      </c>
      <c r="B6" s="1">
        <v>64.8</v>
      </c>
      <c r="C6" s="1">
        <v>160</v>
      </c>
      <c r="D6" s="1">
        <v>143</v>
      </c>
      <c r="E6" s="1">
        <v>107</v>
      </c>
      <c r="F6" s="2">
        <f>B6/E6</f>
      </c>
      <c r="G6" s="2">
        <f>E6/B6</f>
      </c>
      <c r="H6" s="2">
        <f>C6/D6</f>
      </c>
    </row>
    <row r="7">
      <c r="A7">
        <v>2048</v>
      </c>
      <c r="B7" s="1">
        <v>629</v>
      </c>
      <c r="C7" s="1">
        <v>1280</v>
      </c>
      <c r="D7" s="1">
        <v>1202</v>
      </c>
      <c r="E7" s="1">
        <v>1086</v>
      </c>
      <c r="F7" s="2">
        <f>B7/E7</f>
      </c>
      <c r="G7" s="2">
        <f>E7/B7</f>
      </c>
      <c r="H7" s="2">
        <f>C7/D7</f>
      </c>
    </row>
    <row r="10">
      <c r="A10" t="str">
        <v>GMP/EABC &lt; 1 heisst GMP ist schneller. Median über 5 Seeds; alle 15 Einzellaeufe unter 0,69.</v>
      </c>
    </row>
    <row r="11">
      <c r="A11" t="str">
        <v>2048: openssl_sieved-Median ist 1202 ms, nicht 1494 ms (das war Trial 4 — Ausreisser, kippt Mittel, nicht Median).</v>
      </c>
    </row>
    <row r="12">
      <c r="A12" t="str">
        <v>In keinem 2048-Trial ist sieved langsamer als raw; langsamer war nur 512 Trial 2 (Isolationsrauschen).</v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8.83203125" customWidth="1"/>
    <col min="2" max="2" width="12.83203125" customWidth="1"/>
    <col min="3" max="3" width="15.83203125" customWidth="1"/>
    <col min="4" max="4" width="10.83203125" customWidth="1"/>
    <col min="5" max="5" width="12.83203125" customWidth="1"/>
    <col min="6" max="6" width="11.83203125" customWidth="1"/>
    <col min="7" max="7" width="12.83203125" customWidth="1"/>
  </cols>
  <sheetData>
    <row r="1">
      <c r="A1" t="str">
        <v>Kandidatenfilter gegen Primzahltest</v>
      </c>
      <c r="B1" t="str">
        <v/>
      </c>
    </row>
    <row r="2">
      <c r="A2" t="str">
        <v>candidates_tested je Engine-Zeile; GMP instrumentiert nicht (immer 0)</v>
      </c>
      <c r="B2" t="str">
        <v/>
      </c>
    </row>
    <row r="4">
      <c r="A4" t="str">
        <v>Bits</v>
      </c>
      <c r="B4" t="str">
        <v>OpenSSL odd</v>
      </c>
      <c r="C4" t="str">
        <v>Siebüberlebende</v>
      </c>
      <c r="D4" t="str">
        <v>odd/Sieb</v>
      </c>
      <c r="E4" t="str">
        <v>MR ausgeführt</v>
      </c>
      <c r="F4" t="str">
        <v>MR/Treffer</v>
      </c>
      <c r="G4" t="str">
        <v>ns/MR-Runde</v>
      </c>
    </row>
    <row r="5">
      <c r="A5">
        <v>512</v>
      </c>
      <c r="B5">
        <v>1972</v>
      </c>
      <c r="C5">
        <v>234</v>
      </c>
      <c r="D5" s="3">
        <f>B5/C5</f>
      </c>
      <c r="E5">
        <v>474</v>
      </c>
      <c r="F5" s="1">
        <f>E5/10</f>
      </c>
      <c r="G5" s="4">
        <f>(Messwerte!E5*1000000)/E5</f>
      </c>
    </row>
    <row r="6">
      <c r="A6">
        <v>1024</v>
      </c>
      <c r="B6">
        <v>3683</v>
      </c>
      <c r="C6">
        <v>467</v>
      </c>
      <c r="D6" s="3">
        <f>B6/C6</f>
      </c>
      <c r="E6">
        <v>707</v>
      </c>
      <c r="F6" s="1">
        <f>E6/10</f>
      </c>
      <c r="G6" s="4">
        <f>(Messwerte!E6*1000000)/E6</f>
      </c>
    </row>
    <row r="7">
      <c r="A7">
        <v>2048</v>
      </c>
      <c r="B7">
        <v>5572</v>
      </c>
      <c r="C7">
        <v>701</v>
      </c>
      <c r="D7" s="3">
        <f>B7/C7</f>
      </c>
      <c r="E7">
        <v>941</v>
      </c>
      <c r="F7" s="1">
        <f>E7/10</f>
      </c>
      <c r="G7" s="4">
        <f>(Messwerte!E7*1000000)/E7</f>
      </c>
    </row>
    <row r="10">
      <c r="A10" t="str">
        <v>MR-Zerlegung überall: 10 Treffer x 25 Runden + genau 1 Runde je Kompositum (Basis 2).</v>
      </c>
    </row>
    <row r="11">
      <c r="A11" t="str">
        <v>Rundenzahl skaliert mit der Lücke (~Kandidaten minus 10), nicht mit bits/64.</v>
      </c>
    </row>
    <row r="12">
      <c r="A12" t="str">
        <v>Zeit pro Runde relativ zu 512 Bit: 1x / 4,93x / 36,4x — Modulararithmetik, nicht Rundenzahl.</v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8.83203125" customWidth="1"/>
    <col min="2" max="2" width="20.83203125" customWidth="1"/>
    <col min="3" max="3" width="22.83203125" customWidth="1"/>
    <col min="4" max="4" width="10.83203125" customWidth="1"/>
  </cols>
  <sheetData>
    <row r="1">
      <c r="A1" t="str">
        <v>Zerlegung: Sieb gegen Test</v>
      </c>
      <c r="B1" t="str">
        <v/>
      </c>
    </row>
    <row r="2">
      <c r="A2" t="str">
        <v>openssl_sieved und eabc_mr nutzen dasselbe Sieb: identische Kandidatenzahlen. Der Abstand ist der Test.</v>
      </c>
    </row>
    <row r="4">
      <c r="A4" t="str">
        <v>Bits</v>
      </c>
      <c r="B4" t="str">
        <v>Siebgewinn (raw/sieved)</v>
      </c>
      <c r="C4" t="str">
        <v>Testgewinn (sieved/eabc)</v>
      </c>
      <c r="D4" t="str">
        <v>GMP/EABC</v>
      </c>
    </row>
    <row r="5">
      <c r="A5">
        <v>512</v>
      </c>
      <c r="B5" s="3">
        <f>Messwerte!H5</f>
      </c>
      <c r="C5" s="3">
        <f>Messwerte!D5/Messwerte!E5</f>
      </c>
      <c r="D5" s="3">
        <f>Messwerte!F5</f>
      </c>
    </row>
    <row r="6">
      <c r="A6">
        <v>1024</v>
      </c>
      <c r="B6" s="3">
        <f>Messwerte!H6</f>
      </c>
      <c r="C6" s="3">
        <f>Messwerte!D6/Messwerte!E6</f>
      </c>
      <c r="D6" s="3">
        <f>Messwerte!F6</f>
      </c>
    </row>
    <row r="7">
      <c r="A7">
        <v>2048</v>
      </c>
      <c r="B7" s="3">
        <f>Messwerte!H7</f>
      </c>
      <c r="C7" s="3">
        <f>Messwerte!D7/Messwerte!E7</f>
      </c>
      <c r="D7" s="3">
        <f>Messwerte!F7</f>
      </c>
    </row>
    <row r="10">
      <c r="A10" t="str">
        <v>GMP gewinnt alle 15 Läufe: T10_GMP/T10_EABC = 0,639 / 0,607 / 0,579.</v>
      </c>
    </row>
    <row r="11">
      <c r="A11" t="str">
        <v>EABC gegenüber gesiebtem OpenSSL: 1,39x / 1,34x / 1,11x schneller — der Rest zu GMP ist Bibliothek, nicht Filter.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52.83203125" customWidth="1"/>
    <col min="2" max="2" width="34.83203125" customWidth="1"/>
  </cols>
  <sheetData>
    <row r="1">
      <c r="A1" t="str">
        <v>Was 15 Läufe belegen — und was nicht</v>
      </c>
    </row>
    <row r="3">
      <c r="A3" t="str">
        <v>Belegt</v>
      </c>
      <c r="B3" t="str">
        <v>Nicht belegt</v>
      </c>
    </row>
    <row r="4">
      <c r="A4" t="str">
        <v>Dieselbe Nachfolgerkette wie GMP und OpenSSL</v>
      </c>
      <c r="B4" t="str">
        <v>Überlegenheit gegen GMP</v>
      </c>
    </row>
    <row r="5">
      <c r="A5" t="str">
        <v>probable-prime (GMP 64, OpenSSL), bitlen_ok, isolate=1</v>
      </c>
      <c r="B5" t="str">
        <v>Neue Primzahltheorie</v>
      </c>
    </row>
    <row r="6">
      <c r="A6" t="str">
        <v>Sieb ~8x weniger Kandidaten als Odd-Walk</v>
      </c>
      <c r="B6" t="str">
        <v>Primzahlbeweis</v>
      </c>
    </row>
    <row r="7">
      <c r="A7" t="str">
        <v>Seed eabc-v2, SHA-256-Zählerhash (kein CTR-DRBG)</v>
      </c>
      <c r="B7" t="str">
        <v>FIPS-Äquivalenz</v>
      </c>
    </row>
    <row r="8">
      <c r="A8" t="str">
        <v>MR-Basen = erste 25 Siebprimzahlen (nicht SHA(n))</v>
      </c>
      <c r="B8" t="str">
        <v>RSA-Keygen</v>
      </c>
    </row>
    <row r="9">
      <c r="A9" t="str">
        <v>RSS pro Kindprozess, Darwin-Bytes</v>
      </c>
      <c r="B9" t="str">
        <v>5–10x gegen GMP</v>
      </c>
    </row>
    <row r="11">
      <c r="A11" t="str">
        <v>Harness: commercial_prime_benchmark/Primes_EABC.cpp</v>
      </c>
      <c r="B11" t="str">
        <v/>
      </c>
    </row>
    <row r="12">
      <c r="A12" t="str">
        <v>Außenaussage: korrekt, nicht überlegen. Kein Geschwindigkeitsclaim.</v>
      </c>
      <c r="B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Messwerte</vt:lpstr>
      <vt:lpstr>Kandidaten_MR</vt:lpstr>
      <vt:lpstr>Sieb_vs_Test</vt:lpstr>
      <vt:lpstr>Belegt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